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waz\OneDrive\Desktop\Excel Interview preparation\"/>
    </mc:Choice>
  </mc:AlternateContent>
  <bookViews>
    <workbookView xWindow="0" yWindow="0" windowWidth="19200" windowHeight="7118"/>
  </bookViews>
  <sheets>
    <sheet name="Sheet1" sheetId="1" r:id="rId1"/>
  </sheets>
  <definedNames>
    <definedName name="_xlnm._FilterDatabase" localSheetId="0" hidden="1">Sheet1!$C$1:$C$31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4" i="1" l="1"/>
  <c r="L19" i="1"/>
  <c r="L15" i="1"/>
  <c r="L12" i="1"/>
  <c r="L5" i="1"/>
  <c r="L8" i="1" l="1"/>
  <c r="L7" i="1" l="1"/>
  <c r="L6" i="1"/>
</calcChain>
</file>

<file path=xl/sharedStrings.xml><?xml version="1.0" encoding="utf-8"?>
<sst xmlns="http://schemas.openxmlformats.org/spreadsheetml/2006/main" count="113" uniqueCount="31">
  <si>
    <t>OrderID</t>
  </si>
  <si>
    <t>SalesPerson</t>
  </si>
  <si>
    <t>Region</t>
  </si>
  <si>
    <t>Product</t>
  </si>
  <si>
    <t>Sales</t>
  </si>
  <si>
    <t>Ali</t>
  </si>
  <si>
    <t>Lahore</t>
  </si>
  <si>
    <t>Laptop</t>
  </si>
  <si>
    <t>Sara</t>
  </si>
  <si>
    <t>Karachi</t>
  </si>
  <si>
    <t>Mobile</t>
  </si>
  <si>
    <t>Ahmed</t>
  </si>
  <si>
    <t>Tablet</t>
  </si>
  <si>
    <t>Zain</t>
  </si>
  <si>
    <t>Islamabad</t>
  </si>
  <si>
    <t>Hina</t>
  </si>
  <si>
    <t>Bilal</t>
  </si>
  <si>
    <t>Ayesha</t>
  </si>
  <si>
    <t>Usman</t>
  </si>
  <si>
    <t>Total Sales From Lahore</t>
  </si>
  <si>
    <t>Answers of Buisness Questions (SUMIF)</t>
  </si>
  <si>
    <t>Total Sales of Laptop Products</t>
  </si>
  <si>
    <t>Total Sales from Karachi where product is "Laptop"</t>
  </si>
  <si>
    <t>Find total sales where:</t>
  </si>
  <si>
    <t>Region = Lahore</t>
  </si>
  <si>
    <t>Sales &gt; 500</t>
  </si>
  <si>
    <t>Product = "Mobile"
Sales are less than 300</t>
  </si>
  <si>
    <t>Product = "Laptop"</t>
  </si>
  <si>
    <t>Region is NOT Karachi</t>
  </si>
  <si>
    <t>Sales &gt; 800</t>
  </si>
  <si>
    <t>Sales are between 300 and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</si>
</sst>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topLeftCell="A4" zoomScale="76" zoomScaleNormal="76" workbookViewId="0">
      <selection activeCell="I26" sqref="I26"/>
    </sheetView>
  </sheetViews>
  <sheetFormatPr defaultRowHeight="14.25" x14ac:dyDescent="0.45"/>
  <cols>
    <col min="1" max="1" width="7.19921875" bestFit="1" customWidth="1"/>
    <col min="2" max="2" width="13.19921875" customWidth="1"/>
    <col min="3" max="3" width="8.73046875" bestFit="1" customWidth="1"/>
    <col min="4" max="4" width="7.06640625" bestFit="1" customWidth="1"/>
    <col min="5" max="5" width="4.86328125" bestFit="1" customWidth="1"/>
    <col min="9" max="9" width="41.332031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x14ac:dyDescent="0.45">
      <c r="A2" s="2">
        <v>1001</v>
      </c>
      <c r="B2" s="2" t="s">
        <v>5</v>
      </c>
      <c r="C2" s="2" t="s">
        <v>6</v>
      </c>
      <c r="D2" s="2" t="s">
        <v>7</v>
      </c>
      <c r="E2" s="2">
        <v>800</v>
      </c>
    </row>
    <row r="3" spans="1:12" x14ac:dyDescent="0.45">
      <c r="A3" s="2">
        <v>1002</v>
      </c>
      <c r="B3" s="2" t="s">
        <v>8</v>
      </c>
      <c r="C3" s="2" t="s">
        <v>9</v>
      </c>
      <c r="D3" s="2" t="s">
        <v>10</v>
      </c>
      <c r="E3" s="2">
        <v>300</v>
      </c>
      <c r="I3" s="6" t="s">
        <v>20</v>
      </c>
      <c r="J3" s="7"/>
      <c r="K3" s="7"/>
      <c r="L3" s="7"/>
    </row>
    <row r="4" spans="1:12" x14ac:dyDescent="0.45">
      <c r="A4" s="2">
        <v>1003</v>
      </c>
      <c r="B4" s="2" t="s">
        <v>11</v>
      </c>
      <c r="C4" s="2" t="s">
        <v>6</v>
      </c>
      <c r="D4" s="2" t="s">
        <v>12</v>
      </c>
      <c r="E4" s="2">
        <v>450</v>
      </c>
    </row>
    <row r="5" spans="1:12" x14ac:dyDescent="0.45">
      <c r="A5" s="2">
        <v>1004</v>
      </c>
      <c r="B5" s="2" t="s">
        <v>13</v>
      </c>
      <c r="C5" s="2" t="s">
        <v>14</v>
      </c>
      <c r="D5" s="2" t="s">
        <v>7</v>
      </c>
      <c r="E5" s="2">
        <v>900</v>
      </c>
      <c r="I5" t="s">
        <v>19</v>
      </c>
      <c r="L5">
        <f>SUMIF(C2:C31,"Lahore",E2:E31)</f>
        <v>7140</v>
      </c>
    </row>
    <row r="6" spans="1:12" x14ac:dyDescent="0.45">
      <c r="A6" s="2">
        <v>1005</v>
      </c>
      <c r="B6" s="2" t="s">
        <v>15</v>
      </c>
      <c r="C6" s="2" t="s">
        <v>6</v>
      </c>
      <c r="D6" s="2" t="s">
        <v>10</v>
      </c>
      <c r="E6" s="2">
        <v>250</v>
      </c>
      <c r="I6" t="s">
        <v>21</v>
      </c>
      <c r="L6">
        <f>SUMIF(D2:D31,"Laptop", E2:E31)</f>
        <v>9350</v>
      </c>
    </row>
    <row r="7" spans="1:12" x14ac:dyDescent="0.45">
      <c r="A7" s="2">
        <v>1006</v>
      </c>
      <c r="B7" s="2" t="s">
        <v>16</v>
      </c>
      <c r="C7" s="2" t="s">
        <v>9</v>
      </c>
      <c r="D7" s="2" t="s">
        <v>7</v>
      </c>
      <c r="E7" s="2">
        <v>700</v>
      </c>
      <c r="I7" t="s">
        <v>22</v>
      </c>
      <c r="L7">
        <f>SUMIFS(E2:E31,C2:C31,"Karachi",D2:D31,"Laptop")</f>
        <v>3230</v>
      </c>
    </row>
    <row r="8" spans="1:12" x14ac:dyDescent="0.45">
      <c r="A8" s="2">
        <v>1007</v>
      </c>
      <c r="B8" s="2" t="s">
        <v>17</v>
      </c>
      <c r="C8" s="2" t="s">
        <v>6</v>
      </c>
      <c r="D8" s="2" t="s">
        <v>12</v>
      </c>
      <c r="E8" s="2">
        <v>500</v>
      </c>
      <c r="I8" s="3" t="s">
        <v>23</v>
      </c>
      <c r="L8" s="8">
        <f>SUMIFS(E2:E31,C2:C31,"Lahore",E2:E31,"&gt;500")</f>
        <v>4440</v>
      </c>
    </row>
    <row r="9" spans="1:12" x14ac:dyDescent="0.45">
      <c r="A9" s="2">
        <v>1008</v>
      </c>
      <c r="B9" s="2" t="s">
        <v>18</v>
      </c>
      <c r="C9" s="2" t="s">
        <v>14</v>
      </c>
      <c r="D9" s="2" t="s">
        <v>10</v>
      </c>
      <c r="E9" s="2">
        <v>350</v>
      </c>
      <c r="I9" s="4" t="s">
        <v>24</v>
      </c>
      <c r="L9" s="8"/>
    </row>
    <row r="10" spans="1:12" x14ac:dyDescent="0.45">
      <c r="A10" s="2">
        <v>1009</v>
      </c>
      <c r="B10" s="2" t="s">
        <v>5</v>
      </c>
      <c r="C10" s="2" t="s">
        <v>9</v>
      </c>
      <c r="D10" s="2" t="s">
        <v>7</v>
      </c>
      <c r="E10" s="2">
        <v>850</v>
      </c>
      <c r="I10" s="4" t="s">
        <v>25</v>
      </c>
    </row>
    <row r="11" spans="1:12" x14ac:dyDescent="0.45">
      <c r="A11" s="2">
        <v>1010</v>
      </c>
      <c r="B11" s="2" t="s">
        <v>8</v>
      </c>
      <c r="C11" s="2" t="s">
        <v>6</v>
      </c>
      <c r="D11" s="2" t="s">
        <v>10</v>
      </c>
      <c r="E11" s="2">
        <v>200</v>
      </c>
      <c r="I11" s="3" t="s">
        <v>23</v>
      </c>
    </row>
    <row r="12" spans="1:12" ht="28.5" x14ac:dyDescent="0.45">
      <c r="A12" s="2">
        <v>1011</v>
      </c>
      <c r="B12" s="2" t="s">
        <v>11</v>
      </c>
      <c r="C12" s="2" t="s">
        <v>9</v>
      </c>
      <c r="D12" s="2" t="s">
        <v>12</v>
      </c>
      <c r="E12" s="2">
        <v>400</v>
      </c>
      <c r="I12" s="5" t="s">
        <v>26</v>
      </c>
      <c r="L12">
        <f>SUMIFS(E2:E31,D2:D31,"Mobile",E2:E31,"&lt;300")</f>
        <v>1550</v>
      </c>
    </row>
    <row r="13" spans="1:12" x14ac:dyDescent="0.45">
      <c r="A13" s="2">
        <v>1012</v>
      </c>
      <c r="B13" s="2" t="s">
        <v>13</v>
      </c>
      <c r="C13" s="2" t="s">
        <v>6</v>
      </c>
      <c r="D13" s="2" t="s">
        <v>7</v>
      </c>
      <c r="E13" s="2">
        <v>950</v>
      </c>
    </row>
    <row r="14" spans="1:12" x14ac:dyDescent="0.45">
      <c r="A14" s="2">
        <v>1013</v>
      </c>
      <c r="B14" s="2" t="s">
        <v>15</v>
      </c>
      <c r="C14" s="2" t="s">
        <v>14</v>
      </c>
      <c r="D14" s="2" t="s">
        <v>10</v>
      </c>
      <c r="E14" s="2">
        <v>300</v>
      </c>
      <c r="I14" s="3" t="s">
        <v>23</v>
      </c>
    </row>
    <row r="15" spans="1:12" x14ac:dyDescent="0.45">
      <c r="A15" s="2">
        <v>1014</v>
      </c>
      <c r="B15" s="2" t="s">
        <v>16</v>
      </c>
      <c r="C15" s="2" t="s">
        <v>6</v>
      </c>
      <c r="D15" s="2" t="s">
        <v>7</v>
      </c>
      <c r="E15" s="2">
        <v>780</v>
      </c>
      <c r="I15" s="4" t="s">
        <v>27</v>
      </c>
      <c r="L15">
        <f>SUMIFS(E2:E31, D2:D31, "Laptop", C2:C31, "&lt;&gt;Karachi")</f>
        <v>6120</v>
      </c>
    </row>
    <row r="16" spans="1:12" x14ac:dyDescent="0.45">
      <c r="A16" s="2">
        <v>1015</v>
      </c>
      <c r="B16" s="2" t="s">
        <v>17</v>
      </c>
      <c r="C16" s="2" t="s">
        <v>9</v>
      </c>
      <c r="D16" s="2" t="s">
        <v>12</v>
      </c>
      <c r="E16" s="2">
        <v>420</v>
      </c>
      <c r="I16" s="4" t="s">
        <v>28</v>
      </c>
    </row>
    <row r="17" spans="1:12" x14ac:dyDescent="0.45">
      <c r="A17" s="2">
        <v>1016</v>
      </c>
      <c r="B17" s="2" t="s">
        <v>18</v>
      </c>
      <c r="C17" s="2" t="s">
        <v>6</v>
      </c>
      <c r="D17" s="2" t="s">
        <v>10</v>
      </c>
      <c r="E17" s="2">
        <v>270</v>
      </c>
    </row>
    <row r="18" spans="1:12" x14ac:dyDescent="0.45">
      <c r="A18" s="2">
        <v>1017</v>
      </c>
      <c r="B18" s="2" t="s">
        <v>5</v>
      </c>
      <c r="C18" s="2" t="s">
        <v>14</v>
      </c>
      <c r="D18" s="2" t="s">
        <v>7</v>
      </c>
      <c r="E18" s="2">
        <v>880</v>
      </c>
      <c r="I18" s="3" t="s">
        <v>23</v>
      </c>
    </row>
    <row r="19" spans="1:12" x14ac:dyDescent="0.45">
      <c r="A19" s="2">
        <v>1018</v>
      </c>
      <c r="B19" s="2" t="s">
        <v>8</v>
      </c>
      <c r="C19" s="2" t="s">
        <v>9</v>
      </c>
      <c r="D19" s="2" t="s">
        <v>12</v>
      </c>
      <c r="E19" s="2">
        <v>390</v>
      </c>
      <c r="I19" s="4" t="s">
        <v>24</v>
      </c>
      <c r="L19">
        <f>SUMIFS(E2:E31,C2:C31,"Lahore",D2:D31,"Laptop",E2:E31,"&gt;800")</f>
        <v>1820</v>
      </c>
    </row>
    <row r="20" spans="1:12" x14ac:dyDescent="0.45">
      <c r="A20" s="2">
        <v>1019</v>
      </c>
      <c r="B20" s="2" t="s">
        <v>11</v>
      </c>
      <c r="C20" s="2" t="s">
        <v>6</v>
      </c>
      <c r="D20" s="2" t="s">
        <v>10</v>
      </c>
      <c r="E20" s="2">
        <v>260</v>
      </c>
      <c r="I20" s="4" t="s">
        <v>27</v>
      </c>
    </row>
    <row r="21" spans="1:12" x14ac:dyDescent="0.45">
      <c r="A21" s="2">
        <v>1020</v>
      </c>
      <c r="B21" s="2" t="s">
        <v>13</v>
      </c>
      <c r="C21" s="2" t="s">
        <v>9</v>
      </c>
      <c r="D21" s="2" t="s">
        <v>7</v>
      </c>
      <c r="E21" s="2">
        <v>920</v>
      </c>
      <c r="I21" s="4" t="s">
        <v>29</v>
      </c>
    </row>
    <row r="22" spans="1:12" x14ac:dyDescent="0.45">
      <c r="A22" s="2">
        <v>1021</v>
      </c>
      <c r="B22" s="2" t="s">
        <v>15</v>
      </c>
      <c r="C22" s="2" t="s">
        <v>6</v>
      </c>
      <c r="D22" s="2" t="s">
        <v>12</v>
      </c>
      <c r="E22" s="2">
        <v>480</v>
      </c>
    </row>
    <row r="23" spans="1:12" x14ac:dyDescent="0.45">
      <c r="A23" s="2">
        <v>1022</v>
      </c>
      <c r="B23" s="2" t="s">
        <v>16</v>
      </c>
      <c r="C23" s="2" t="s">
        <v>14</v>
      </c>
      <c r="D23" s="2" t="s">
        <v>10</v>
      </c>
      <c r="E23" s="2">
        <v>310</v>
      </c>
      <c r="I23" s="3" t="s">
        <v>23</v>
      </c>
    </row>
    <row r="24" spans="1:12" x14ac:dyDescent="0.45">
      <c r="A24" s="2">
        <v>1023</v>
      </c>
      <c r="B24" s="2" t="s">
        <v>17</v>
      </c>
      <c r="C24" s="2" t="s">
        <v>6</v>
      </c>
      <c r="D24" s="2" t="s">
        <v>7</v>
      </c>
      <c r="E24" s="2">
        <v>870</v>
      </c>
      <c r="I24" s="4" t="s">
        <v>30</v>
      </c>
      <c r="L24">
        <f>SUMIFS(E2:E31,E2:E31,"&gt;=300",E2:E31,"&lt;=800")</f>
        <v>8310</v>
      </c>
    </row>
    <row r="25" spans="1:12" x14ac:dyDescent="0.45">
      <c r="A25" s="2">
        <v>1024</v>
      </c>
      <c r="B25" s="2" t="s">
        <v>18</v>
      </c>
      <c r="C25" s="2" t="s">
        <v>9</v>
      </c>
      <c r="D25" s="2" t="s">
        <v>10</v>
      </c>
      <c r="E25" s="2">
        <v>330</v>
      </c>
      <c r="I25" s="4"/>
    </row>
    <row r="26" spans="1:12" x14ac:dyDescent="0.45">
      <c r="A26" s="2">
        <v>1025</v>
      </c>
      <c r="B26" s="2" t="s">
        <v>5</v>
      </c>
      <c r="C26" s="2" t="s">
        <v>6</v>
      </c>
      <c r="D26" s="2" t="s">
        <v>12</v>
      </c>
      <c r="E26" s="2">
        <v>510</v>
      </c>
    </row>
    <row r="27" spans="1:12" x14ac:dyDescent="0.45">
      <c r="A27" s="2">
        <v>1026</v>
      </c>
      <c r="B27" s="2" t="s">
        <v>8</v>
      </c>
      <c r="C27" s="2" t="s">
        <v>14</v>
      </c>
      <c r="D27" s="2" t="s">
        <v>7</v>
      </c>
      <c r="E27" s="2">
        <v>940</v>
      </c>
    </row>
    <row r="28" spans="1:12" x14ac:dyDescent="0.45">
      <c r="A28" s="2">
        <v>1027</v>
      </c>
      <c r="B28" s="2" t="s">
        <v>11</v>
      </c>
      <c r="C28" s="2" t="s">
        <v>9</v>
      </c>
      <c r="D28" s="2" t="s">
        <v>10</v>
      </c>
      <c r="E28" s="2">
        <v>280</v>
      </c>
    </row>
    <row r="29" spans="1:12" x14ac:dyDescent="0.45">
      <c r="A29" s="2">
        <v>1028</v>
      </c>
      <c r="B29" s="2" t="s">
        <v>13</v>
      </c>
      <c r="C29" s="2" t="s">
        <v>6</v>
      </c>
      <c r="D29" s="2" t="s">
        <v>12</v>
      </c>
      <c r="E29" s="2">
        <v>530</v>
      </c>
    </row>
    <row r="30" spans="1:12" x14ac:dyDescent="0.45">
      <c r="A30" s="2">
        <v>1029</v>
      </c>
      <c r="B30" s="2" t="s">
        <v>15</v>
      </c>
      <c r="C30" s="2" t="s">
        <v>9</v>
      </c>
      <c r="D30" s="2" t="s">
        <v>7</v>
      </c>
      <c r="E30" s="2">
        <v>760</v>
      </c>
    </row>
    <row r="31" spans="1:12" x14ac:dyDescent="0.45">
      <c r="A31" s="2">
        <v>1030</v>
      </c>
      <c r="B31" s="2" t="s">
        <v>16</v>
      </c>
      <c r="C31" s="2" t="s">
        <v>6</v>
      </c>
      <c r="D31" s="2" t="s">
        <v>10</v>
      </c>
      <c r="E31" s="2">
        <v>290</v>
      </c>
    </row>
  </sheetData>
  <autoFilter ref="C1:C31"/>
  <mergeCells count="2">
    <mergeCell ref="I3:L3"/>
    <mergeCell ref="L8:L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Nawaz</dc:creator>
  <cp:lastModifiedBy>Asad Nawaz</cp:lastModifiedBy>
  <dcterms:created xsi:type="dcterms:W3CDTF">2026-04-26T03:57:58Z</dcterms:created>
  <dcterms:modified xsi:type="dcterms:W3CDTF">2026-04-27T18:16:25Z</dcterms:modified>
</cp:coreProperties>
</file>